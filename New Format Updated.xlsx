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.mohamed\Downloads\"/>
    </mc:Choice>
  </mc:AlternateContent>
  <xr:revisionPtr revIDLastSave="0" documentId="13_ncr:1_{C458F818-9423-4AC5-AD4D-E69824141EF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imesheet" sheetId="1" r:id="rId1"/>
  </sheets>
  <definedNames>
    <definedName name="_xlnm.Print_Area" localSheetId="0">Timesheet!$A$1:$P$68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4" i="1" l="1"/>
  <c r="C43" i="1"/>
  <c r="A43" i="1" s="1"/>
  <c r="B43" i="1"/>
  <c r="C42" i="1"/>
  <c r="B42" i="1" s="1"/>
  <c r="I41" i="1"/>
  <c r="K41" i="1" s="1"/>
  <c r="H41" i="1"/>
  <c r="G41" i="1"/>
  <c r="C41" i="1"/>
  <c r="B41" i="1" s="1"/>
  <c r="D41" i="1" s="1"/>
  <c r="P40" i="1"/>
  <c r="C40" i="1"/>
  <c r="G40" i="1" s="1"/>
  <c r="B40" i="1"/>
  <c r="A40" i="1"/>
  <c r="C39" i="1"/>
  <c r="I39" i="1" s="1"/>
  <c r="B39" i="1"/>
  <c r="D39" i="1" s="1"/>
  <c r="A39" i="1"/>
  <c r="C38" i="1"/>
  <c r="H38" i="1" s="1"/>
  <c r="B38" i="1"/>
  <c r="A38" i="1"/>
  <c r="C37" i="1"/>
  <c r="B37" i="1" s="1"/>
  <c r="I36" i="1"/>
  <c r="K36" i="1" s="1"/>
  <c r="C36" i="1"/>
  <c r="H36" i="1" s="1"/>
  <c r="B36" i="1"/>
  <c r="D36" i="1" s="1"/>
  <c r="A36" i="1"/>
  <c r="C35" i="1"/>
  <c r="H35" i="1" s="1"/>
  <c r="C34" i="1"/>
  <c r="G34" i="1" s="1"/>
  <c r="C33" i="1"/>
  <c r="B33" i="1" s="1"/>
  <c r="C32" i="1"/>
  <c r="B32" i="1" s="1"/>
  <c r="D32" i="1" s="1"/>
  <c r="A32" i="1"/>
  <c r="I31" i="1"/>
  <c r="K31" i="1" s="1"/>
  <c r="C31" i="1"/>
  <c r="G31" i="1" s="1"/>
  <c r="B31" i="1"/>
  <c r="A31" i="1"/>
  <c r="P30" i="1"/>
  <c r="C30" i="1"/>
  <c r="I30" i="1" s="1"/>
  <c r="B30" i="1"/>
  <c r="D30" i="1" s="1"/>
  <c r="A30" i="1"/>
  <c r="C29" i="1"/>
  <c r="I29" i="1" s="1"/>
  <c r="B29" i="1"/>
  <c r="A29" i="1"/>
  <c r="C28" i="1"/>
  <c r="A28" i="1" s="1"/>
  <c r="B28" i="1"/>
  <c r="C27" i="1"/>
  <c r="B27" i="1" s="1"/>
  <c r="I26" i="1"/>
  <c r="K26" i="1" s="1"/>
  <c r="C26" i="1"/>
  <c r="B26" i="1" s="1"/>
  <c r="D26" i="1" s="1"/>
  <c r="A26" i="1"/>
  <c r="C25" i="1"/>
  <c r="B25" i="1" s="1"/>
  <c r="D25" i="1" s="1"/>
  <c r="C24" i="1"/>
  <c r="G24" i="1" s="1"/>
  <c r="B24" i="1"/>
  <c r="A24" i="1"/>
  <c r="I23" i="1"/>
  <c r="J23" i="1" s="1"/>
  <c r="C23" i="1"/>
  <c r="H23" i="1" s="1"/>
  <c r="A23" i="1"/>
  <c r="C22" i="1"/>
  <c r="I22" i="1" s="1"/>
  <c r="B22" i="1"/>
  <c r="D22" i="1" s="1"/>
  <c r="A22" i="1"/>
  <c r="C21" i="1"/>
  <c r="I21" i="1" s="1"/>
  <c r="B21" i="1"/>
  <c r="A21" i="1"/>
  <c r="C20" i="1"/>
  <c r="A20" i="1" s="1"/>
  <c r="B20" i="1"/>
  <c r="C19" i="1"/>
  <c r="B19" i="1" s="1"/>
  <c r="C18" i="1"/>
  <c r="B18" i="1" s="1"/>
  <c r="D18" i="1" s="1"/>
  <c r="C17" i="1"/>
  <c r="I17" i="1" s="1"/>
  <c r="K17" i="1" s="1"/>
  <c r="B17" i="1"/>
  <c r="D17" i="1" s="1"/>
  <c r="A17" i="1"/>
  <c r="I16" i="1"/>
  <c r="J16" i="1" s="1"/>
  <c r="C16" i="1"/>
  <c r="G16" i="1" s="1"/>
  <c r="B16" i="1"/>
  <c r="A16" i="1"/>
  <c r="C15" i="1"/>
  <c r="H15" i="1" s="1"/>
  <c r="A15" i="1"/>
  <c r="C14" i="1"/>
  <c r="I14" i="1" s="1"/>
  <c r="C13" i="1"/>
  <c r="H13" i="1" s="1"/>
  <c r="B13" i="1"/>
  <c r="A13" i="1"/>
  <c r="C8" i="1"/>
  <c r="H18" i="1" l="1"/>
  <c r="H25" i="1"/>
  <c r="J41" i="1"/>
  <c r="I35" i="1"/>
  <c r="J35" i="1" s="1"/>
  <c r="J26" i="1"/>
  <c r="D40" i="1"/>
  <c r="I25" i="1"/>
  <c r="K25" i="1" s="1"/>
  <c r="H24" i="1"/>
  <c r="H17" i="1"/>
  <c r="G18" i="1"/>
  <c r="G25" i="1"/>
  <c r="I15" i="1"/>
  <c r="K15" i="1" s="1"/>
  <c r="I18" i="1"/>
  <c r="H32" i="1"/>
  <c r="G17" i="1"/>
  <c r="I32" i="1"/>
  <c r="K32" i="1" s="1"/>
  <c r="H40" i="1"/>
  <c r="I24" i="1"/>
  <c r="J24" i="1" s="1"/>
  <c r="I40" i="1"/>
  <c r="K40" i="1" s="1"/>
  <c r="A14" i="1"/>
  <c r="A25" i="1"/>
  <c r="G26" i="1"/>
  <c r="A34" i="1"/>
  <c r="G36" i="1"/>
  <c r="B14" i="1"/>
  <c r="D14" i="1" s="1"/>
  <c r="H16" i="1"/>
  <c r="A18" i="1"/>
  <c r="H26" i="1"/>
  <c r="H31" i="1"/>
  <c r="B34" i="1"/>
  <c r="D34" i="1" s="1"/>
  <c r="K30" i="1"/>
  <c r="J30" i="1"/>
  <c r="K39" i="1"/>
  <c r="J39" i="1"/>
  <c r="J29" i="1"/>
  <c r="K29" i="1"/>
  <c r="J14" i="1"/>
  <c r="K14" i="1"/>
  <c r="J21" i="1"/>
  <c r="K21" i="1"/>
  <c r="K22" i="1"/>
  <c r="J22" i="1"/>
  <c r="K23" i="1"/>
  <c r="G27" i="1"/>
  <c r="D28" i="1"/>
  <c r="J31" i="1"/>
  <c r="G33" i="1"/>
  <c r="G37" i="1"/>
  <c r="G42" i="1"/>
  <c r="D43" i="1"/>
  <c r="A35" i="1"/>
  <c r="K35" i="1"/>
  <c r="D13" i="1"/>
  <c r="B15" i="1"/>
  <c r="D15" i="1" s="1"/>
  <c r="K16" i="1"/>
  <c r="J17" i="1"/>
  <c r="H19" i="1"/>
  <c r="G20" i="1"/>
  <c r="D21" i="1"/>
  <c r="B23" i="1"/>
  <c r="D23" i="1" s="1"/>
  <c r="K24" i="1"/>
  <c r="J25" i="1"/>
  <c r="H27" i="1"/>
  <c r="G28" i="1"/>
  <c r="D29" i="1"/>
  <c r="H33" i="1"/>
  <c r="B35" i="1"/>
  <c r="J36" i="1"/>
  <c r="H37" i="1"/>
  <c r="D38" i="1"/>
  <c r="H42" i="1"/>
  <c r="G43" i="1"/>
  <c r="I33" i="1"/>
  <c r="H43" i="1"/>
  <c r="G19" i="1"/>
  <c r="I27" i="1"/>
  <c r="G29" i="1"/>
  <c r="H21" i="1"/>
  <c r="I38" i="1"/>
  <c r="G39" i="1"/>
  <c r="A41" i="1"/>
  <c r="I43" i="1"/>
  <c r="J15" i="1"/>
  <c r="D19" i="1"/>
  <c r="D27" i="1"/>
  <c r="D37" i="1"/>
  <c r="D42" i="1"/>
  <c r="D20" i="1"/>
  <c r="G13" i="1"/>
  <c r="I19" i="1"/>
  <c r="H20" i="1"/>
  <c r="G21" i="1"/>
  <c r="H28" i="1"/>
  <c r="I20" i="1"/>
  <c r="G22" i="1"/>
  <c r="I28" i="1"/>
  <c r="H29" i="1"/>
  <c r="G30" i="1"/>
  <c r="H34" i="1"/>
  <c r="D35" i="1"/>
  <c r="I13" i="1"/>
  <c r="H14" i="1"/>
  <c r="G15" i="1"/>
  <c r="D16" i="1"/>
  <c r="A19" i="1"/>
  <c r="H22" i="1"/>
  <c r="G23" i="1"/>
  <c r="D24" i="1"/>
  <c r="A27" i="1"/>
  <c r="H30" i="1"/>
  <c r="D31" i="1"/>
  <c r="A33" i="1"/>
  <c r="I34" i="1"/>
  <c r="G35" i="1"/>
  <c r="A37" i="1"/>
  <c r="H39" i="1"/>
  <c r="A42" i="1"/>
  <c r="D33" i="1"/>
  <c r="I37" i="1"/>
  <c r="I42" i="1"/>
  <c r="G14" i="1"/>
  <c r="K18" i="1" l="1"/>
  <c r="J18" i="1"/>
  <c r="J32" i="1"/>
  <c r="H44" i="1"/>
  <c r="P34" i="1" s="1"/>
  <c r="J40" i="1"/>
  <c r="J34" i="1"/>
  <c r="K34" i="1"/>
  <c r="K33" i="1"/>
  <c r="J33" i="1"/>
  <c r="K37" i="1"/>
  <c r="J37" i="1"/>
  <c r="K28" i="1"/>
  <c r="J28" i="1"/>
  <c r="K38" i="1"/>
  <c r="J38" i="1"/>
  <c r="K20" i="1"/>
  <c r="J20" i="1"/>
  <c r="J13" i="1"/>
  <c r="K13" i="1"/>
  <c r="I44" i="1"/>
  <c r="P32" i="1" s="1"/>
  <c r="K42" i="1"/>
  <c r="J42" i="1"/>
  <c r="P38" i="1"/>
  <c r="G44" i="1"/>
  <c r="P33" i="1" s="1"/>
  <c r="P53" i="1"/>
  <c r="P51" i="1"/>
  <c r="P52" i="1"/>
  <c r="K27" i="1"/>
  <c r="J27" i="1"/>
  <c r="K19" i="1"/>
  <c r="J19" i="1"/>
  <c r="K43" i="1"/>
  <c r="J43" i="1"/>
  <c r="P68" i="1"/>
  <c r="P60" i="1"/>
  <c r="P65" i="1"/>
  <c r="P31" i="1"/>
  <c r="P62" i="1"/>
  <c r="P67" i="1"/>
  <c r="P59" i="1"/>
  <c r="P57" i="1"/>
  <c r="P66" i="1"/>
  <c r="P58" i="1"/>
  <c r="P61" i="1"/>
  <c r="P64" i="1"/>
  <c r="P63" i="1"/>
  <c r="P39" i="1"/>
  <c r="K44" i="1" l="1"/>
  <c r="J44" i="1"/>
  <c r="P37" i="1" l="1"/>
  <c r="P46" i="1"/>
  <c r="P35" i="1"/>
  <c r="P47" i="1"/>
  <c r="P36" i="1"/>
  <c r="P48" i="1" l="1"/>
</calcChain>
</file>

<file path=xl/sharedStrings.xml><?xml version="1.0" encoding="utf-8"?>
<sst xmlns="http://schemas.openxmlformats.org/spreadsheetml/2006/main" count="100" uniqueCount="88">
  <si>
    <t>MEASURESOFT OIL SERVICES</t>
  </si>
  <si>
    <t>Summary</t>
  </si>
  <si>
    <t>MONTHLY ATTENDANCE &amp; TIMESHEET</t>
  </si>
  <si>
    <t>Employee Name:</t>
  </si>
  <si>
    <t>Position:</t>
  </si>
  <si>
    <t>Department:</t>
  </si>
  <si>
    <t>Month (1-12):</t>
  </si>
  <si>
    <t>Year:</t>
  </si>
  <si>
    <t>S/N:</t>
  </si>
  <si>
    <t>Period:</t>
  </si>
  <si>
    <t>Standard Shift:</t>
  </si>
  <si>
    <t>Start</t>
  </si>
  <si>
    <t>End</t>
  </si>
  <si>
    <t>OT Tier 1 up to</t>
  </si>
  <si>
    <t>DUTY CODES (for Duty dropdown)</t>
  </si>
  <si>
    <t>No.</t>
  </si>
  <si>
    <t>Day</t>
  </si>
  <si>
    <t>Date</t>
  </si>
  <si>
    <t>Duty</t>
  </si>
  <si>
    <t>Time In</t>
  </si>
  <si>
    <t>Time Out</t>
  </si>
  <si>
    <t>Delay (hrs)</t>
  </si>
  <si>
    <t>Early Leave (hrs)</t>
  </si>
  <si>
    <t>Worked Hrs</t>
  </si>
  <si>
    <t>OT Tier 1
(8–10 hrs)</t>
  </si>
  <si>
    <t>Description</t>
  </si>
  <si>
    <t>Permission</t>
  </si>
  <si>
    <t>Code</t>
  </si>
  <si>
    <t>Meaning</t>
  </si>
  <si>
    <t>OD</t>
  </si>
  <si>
    <t>Office Day</t>
  </si>
  <si>
    <t>OH</t>
  </si>
  <si>
    <t>Official Holiday</t>
  </si>
  <si>
    <t>Arv</t>
  </si>
  <si>
    <t>Arrival Day</t>
  </si>
  <si>
    <t>FD</t>
  </si>
  <si>
    <t>Factory Day</t>
  </si>
  <si>
    <t>WE</t>
  </si>
  <si>
    <t>Week End</t>
  </si>
  <si>
    <t>WWE</t>
  </si>
  <si>
    <t>Work Week End</t>
  </si>
  <si>
    <t>EF</t>
  </si>
  <si>
    <t>Egypt Field Day</t>
  </si>
  <si>
    <t>AWP</t>
  </si>
  <si>
    <t>Absence Without Permission</t>
  </si>
  <si>
    <t>RDO</t>
  </si>
  <si>
    <t>Regular Day Off</t>
  </si>
  <si>
    <t>EDO</t>
  </si>
  <si>
    <t>EMERGENCY Day Off</t>
  </si>
  <si>
    <t>RSD</t>
  </si>
  <si>
    <t>Reported Sick Days</t>
  </si>
  <si>
    <t>COD</t>
  </si>
  <si>
    <t>Client Office Day</t>
  </si>
  <si>
    <t>PERMISSION CODES (for Permission dropdown – max 2/month)</t>
  </si>
  <si>
    <t>PN-1</t>
  </si>
  <si>
    <t>Permission – 1st time this month</t>
  </si>
  <si>
    <t>PN-2</t>
  </si>
  <si>
    <t>Permission – 2nd time this month</t>
  </si>
  <si>
    <t>MONTHLY SUMMARY</t>
  </si>
  <si>
    <t>Total Days in Month</t>
  </si>
  <si>
    <t>Total Worked Days</t>
  </si>
  <si>
    <t>Total Worked Hours</t>
  </si>
  <si>
    <t>Total Delay</t>
  </si>
  <si>
    <t>Total Early Leave</t>
  </si>
  <si>
    <t>Overtime Tier 1 (8–10h)</t>
  </si>
  <si>
    <t>Overtime Tier 2 (&gt;13h)</t>
  </si>
  <si>
    <t>Total Overtime</t>
  </si>
  <si>
    <t>Days &gt; 15 min Delay</t>
  </si>
  <si>
    <t>Absence w/o Permission</t>
  </si>
  <si>
    <t>Permissions Used (max 2)</t>
  </si>
  <si>
    <t>OVERTIME PAY ESTIMATOR</t>
  </si>
  <si>
    <t>Hourly Rate (EGP)</t>
  </si>
  <si>
    <t>TOTAL</t>
  </si>
  <si>
    <t>Tier 1 Multiplier</t>
  </si>
  <si>
    <t>Tier 2 Multiplier</t>
  </si>
  <si>
    <t>Tier 1 OT Pay</t>
  </si>
  <si>
    <t>Tier 2 OT Pay</t>
  </si>
  <si>
    <t>Total Estimated OT Pay</t>
  </si>
  <si>
    <t>DELAY SEVERITY BREAKDOWN</t>
  </si>
  <si>
    <t>On time / within grace (≤ 15 min)</t>
  </si>
  <si>
    <t>Moderate delay (15–30 min)</t>
  </si>
  <si>
    <t>Severe delay (&gt; 30 min)</t>
  </si>
  <si>
    <t>DUTY CODE COUNT</t>
  </si>
  <si>
    <t>OT Tier 2
(&gt;10 PM)</t>
  </si>
  <si>
    <t>OT Tier 2 up to</t>
  </si>
  <si>
    <t>over 13.0 hrs</t>
  </si>
  <si>
    <t>Standard workday = 8 hrs. Tier 1: hours 8–13 worked (×1.5).</t>
  </si>
  <si>
    <t xml:space="preserve"> Tier 2: beyond 13 hrs worked (×1.7).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</si>
</sst>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hrs&quot;"/>
    <numFmt numFmtId="165" formatCode="dd\-mmm\-yy;;;"/>
    <numFmt numFmtId="166" formatCode="[h]:mm"/>
    <numFmt numFmtId="167" formatCode="0.00\x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  <charset val="1"/>
    </font>
    <font>
      <b/>
      <sz val="22"/>
      <color theme="1"/>
      <name val="Calibri"/>
      <family val="2"/>
      <charset val="1"/>
    </font>
    <font>
      <b/>
      <sz val="13"/>
      <color rgb="FF1F3864"/>
      <name val="Calibri"/>
      <family val="2"/>
      <charset val="1"/>
    </font>
    <font>
      <b/>
      <sz val="10"/>
      <color rgb="FF1F3864"/>
      <name val="Calibri"/>
      <family val="2"/>
      <charset val="1"/>
    </font>
    <font>
      <sz val="10"/>
      <color rgb="FF1F4E78"/>
      <name val="Calibri"/>
      <family val="2"/>
      <charset val="1"/>
    </font>
    <font>
      <b/>
      <sz val="10"/>
      <color rgb="FF0070C0"/>
      <name val="Calibri"/>
      <family val="2"/>
      <charset val="1"/>
    </font>
    <font>
      <b/>
      <i/>
      <sz val="9.5"/>
      <color rgb="FFBF8F00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.5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color rgb="FF0070C0"/>
      <name val="Calibri"/>
      <family val="2"/>
      <charset val="1"/>
    </font>
    <font>
      <b/>
      <sz val="10"/>
      <color rgb="FFBF8F00"/>
      <name val="Calibri"/>
      <family val="2"/>
      <charset val="1"/>
    </font>
    <font>
      <b/>
      <sz val="10"/>
      <color rgb="FFC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color rgb="FF0070C0"/>
      <name val="Calibri"/>
      <family val="2"/>
      <charset val="1"/>
    </font>
    <font>
      <i/>
      <sz val="8.5"/>
      <color rgb="FF808080"/>
      <name val="Calibri"/>
      <family val="2"/>
      <charset val="1"/>
    </font>
    <font>
      <sz val="9.5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theme="3" tint="0.79979857783745845"/>
        <bgColor rgb="FFD9E2F3"/>
      </patternFill>
    </fill>
    <fill>
      <patternFill patternType="solid">
        <fgColor rgb="FFD9E2F3"/>
        <bgColor rgb="FFE7E6E6"/>
      </patternFill>
    </fill>
    <fill>
      <patternFill patternType="solid">
        <fgColor rgb="FFFFFFFF"/>
        <bgColor rgb="FFF2F5FB"/>
      </patternFill>
    </fill>
    <fill>
      <patternFill patternType="solid">
        <fgColor rgb="FFFFF2CC"/>
        <bgColor rgb="FFFCE4E4"/>
      </patternFill>
    </fill>
    <fill>
      <patternFill patternType="solid">
        <fgColor rgb="FF808080"/>
        <bgColor rgb="FF969696"/>
      </patternFill>
    </fill>
    <fill>
      <patternFill patternType="solid">
        <fgColor rgb="FFF2F5FB"/>
        <bgColor rgb="FFF2F2F2"/>
      </patternFill>
    </fill>
    <fill>
      <patternFill patternType="solid">
        <fgColor rgb="FFBF8F00"/>
        <bgColor rgb="FF808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0" fillId="5" borderId="0" xfId="0" applyFont="1" applyFill="1" applyBorder="1" applyAlignment="1">
      <alignment horizontal="left"/>
    </xf>
    <xf numFmtId="0" fontId="19" fillId="0" borderId="0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0" xfId="0" applyFill="1" applyAlignment="1"/>
    <xf numFmtId="0" fontId="4" fillId="3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right" vertical="center"/>
    </xf>
    <xf numFmtId="18" fontId="6" fillId="6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165" fontId="12" fillId="8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18" fontId="13" fillId="8" borderId="4" xfId="0" applyNumberFormat="1" applyFont="1" applyFill="1" applyBorder="1" applyAlignment="1">
      <alignment horizontal="center" vertical="center" wrapText="1"/>
    </xf>
    <xf numFmtId="166" fontId="12" fillId="8" borderId="4" xfId="0" applyNumberFormat="1" applyFont="1" applyFill="1" applyBorder="1" applyAlignment="1">
      <alignment horizontal="center" vertical="center" wrapText="1"/>
    </xf>
    <xf numFmtId="166" fontId="14" fillId="8" borderId="4" xfId="0" applyNumberFormat="1" applyFont="1" applyFill="1" applyBorder="1" applyAlignment="1">
      <alignment horizontal="center" vertical="center" wrapText="1"/>
    </xf>
    <xf numFmtId="166" fontId="15" fillId="8" borderId="4" xfId="0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left" vertical="center" indent="1"/>
    </xf>
    <xf numFmtId="0" fontId="12" fillId="5" borderId="4" xfId="0" applyFont="1" applyFill="1" applyBorder="1" applyAlignment="1">
      <alignment horizontal="center"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8" fontId="13" fillId="5" borderId="4" xfId="0" applyNumberFormat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 wrapText="1"/>
    </xf>
    <xf numFmtId="166" fontId="14" fillId="5" borderId="4" xfId="0" applyNumberFormat="1" applyFont="1" applyFill="1" applyBorder="1" applyAlignment="1">
      <alignment horizontal="center" vertical="center" wrapText="1"/>
    </xf>
    <xf numFmtId="166" fontId="15" fillId="5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left" vertical="center" indent="1"/>
    </xf>
    <xf numFmtId="1" fontId="16" fillId="5" borderId="4" xfId="0" applyNumberFormat="1" applyFont="1" applyFill="1" applyBorder="1" applyAlignment="1">
      <alignment horizontal="center" vertical="center" wrapText="1"/>
    </xf>
    <xf numFmtId="166" fontId="16" fillId="5" borderId="4" xfId="0" applyNumberFormat="1" applyFont="1" applyFill="1" applyBorder="1" applyAlignment="1">
      <alignment horizontal="center" vertical="center" wrapText="1"/>
    </xf>
    <xf numFmtId="4" fontId="18" fillId="6" borderId="4" xfId="0" applyNumberFormat="1" applyFont="1" applyFill="1" applyBorder="1" applyAlignment="1">
      <alignment horizontal="center" vertical="center" wrapText="1"/>
    </xf>
    <xf numFmtId="166" fontId="9" fillId="2" borderId="4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67" fontId="18" fillId="6" borderId="4" xfId="0" applyNumberFormat="1" applyFont="1" applyFill="1" applyBorder="1" applyAlignment="1">
      <alignment horizontal="center" vertical="center" wrapText="1"/>
    </xf>
    <xf numFmtId="4" fontId="16" fillId="5" borderId="4" xfId="0" applyNumberFormat="1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 indent="1"/>
    </xf>
    <xf numFmtId="4" fontId="11" fillId="9" borderId="4" xfId="0" applyNumberFormat="1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left" vertical="center" wrapText="1" indent="1"/>
    </xf>
    <xf numFmtId="0" fontId="16" fillId="8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ill>
        <patternFill>
          <bgColor rgb="FFFFF2CC"/>
        </patternFill>
      </fill>
    </dxf>
    <dxf>
      <font>
        <b/>
        <color rgb="FFC00000"/>
      </font>
      <fill>
        <patternFill>
          <bgColor rgb="FFFCE4E4"/>
        </patternFill>
      </fill>
    </dxf>
    <dxf>
      <font>
        <b/>
        <color rgb="FFBF8F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E4"/>
        </patternFill>
      </fill>
    </dxf>
    <dxf>
      <fill>
        <patternFill>
          <bgColor rgb="FFF2F2F2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B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E6E6"/>
      <rgbColor rgb="FFFFFF99"/>
      <rgbColor rgb="FFD9E2F3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127080</xdr:colOff>
      <xdr:row>0</xdr:row>
      <xdr:rowOff>76320</xdr:rowOff>
    </xdr:from>
    <xdr:to>
      <xdr:col>3</xdr:col>
      <xdr:colOff>307080</xdr:colOff>
      <xdr:row>2</xdr:row>
      <xdr:rowOff>175170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080" y="76320"/>
          <a:ext cx="201276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8"/>
  <sheetViews>
    <sheetView showGridLines="0" tabSelected="1" view="pageBreakPreview" topLeftCell="A4" zoomScale="90" zoomScaleNormal="100" zoomScalePageLayoutView="90" workbookViewId="0">
      <selection activeCell="K21" sqref="K21"/>
    </sheetView>
  </sheetViews>
  <sheetFormatPr defaultColWidth="8.6640625" defaultRowHeight="14.4" x14ac:dyDescent="0.3"/>
  <cols>
    <col min="1" max="1" width="4" style="13" customWidth="1"/>
    <col min="2" max="3" width="11" style="13" customWidth="1"/>
    <col min="4" max="5" width="9" style="13" customWidth="1"/>
    <col min="6" max="6" width="8.88671875" style="13" customWidth="1"/>
    <col min="7" max="7" width="12.6640625" style="13" customWidth="1"/>
    <col min="8" max="9" width="10.44140625" style="13" customWidth="1"/>
    <col min="10" max="11" width="11" style="13" customWidth="1"/>
    <col min="12" max="12" width="37.21875" style="13" customWidth="1"/>
    <col min="13" max="13" width="11" style="13" customWidth="1"/>
    <col min="14" max="14" width="2" style="13" customWidth="1"/>
    <col min="15" max="15" width="25.44140625" style="13" customWidth="1"/>
    <col min="16" max="16" width="27.6640625" style="13" customWidth="1"/>
    <col min="17" max="17" width="2" style="13" customWidth="1"/>
  </cols>
  <sheetData>
    <row r="1" spans="1:16" ht="1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O1" s="11" t="s">
        <v>1</v>
      </c>
      <c r="P1" s="11"/>
    </row>
    <row r="2" spans="1:16" ht="21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O2" s="11"/>
      <c r="P2" s="11"/>
    </row>
    <row r="3" spans="1:16" ht="1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O3" s="11"/>
      <c r="P3" s="11"/>
    </row>
    <row r="4" spans="1:16" ht="17.25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O4" s="11"/>
      <c r="P4" s="11"/>
    </row>
    <row r="5" spans="1:16" ht="14.25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O5" s="11"/>
      <c r="P5" s="11"/>
    </row>
    <row r="6" spans="1:16" ht="18" customHeight="1" x14ac:dyDescent="0.3">
      <c r="A6" s="15" t="s">
        <v>3</v>
      </c>
      <c r="B6" s="14"/>
      <c r="C6" s="9"/>
      <c r="D6" s="9"/>
      <c r="E6" s="9"/>
      <c r="F6" s="15" t="s">
        <v>4</v>
      </c>
      <c r="G6" s="9"/>
      <c r="H6" s="9"/>
      <c r="I6" s="15" t="s">
        <v>5</v>
      </c>
      <c r="J6" s="9"/>
      <c r="K6" s="9"/>
      <c r="L6" s="14"/>
      <c r="M6" s="14"/>
      <c r="O6" s="11"/>
      <c r="P6" s="11"/>
    </row>
    <row r="7" spans="1:16" ht="18" customHeight="1" x14ac:dyDescent="0.3">
      <c r="A7" s="15" t="s">
        <v>6</v>
      </c>
      <c r="B7" s="14"/>
      <c r="C7" s="16">
        <v>7</v>
      </c>
      <c r="D7" s="14"/>
      <c r="E7" s="14"/>
      <c r="F7" s="15" t="s">
        <v>7</v>
      </c>
      <c r="G7" s="17">
        <v>2026</v>
      </c>
      <c r="H7" s="14"/>
      <c r="I7" s="15" t="s">
        <v>8</v>
      </c>
      <c r="J7" s="9"/>
      <c r="K7" s="9"/>
      <c r="L7" s="14"/>
      <c r="M7" s="14"/>
      <c r="O7" s="11"/>
      <c r="P7" s="11"/>
    </row>
    <row r="8" spans="1:16" ht="18" customHeight="1" x14ac:dyDescent="0.3">
      <c r="A8" s="15" t="s">
        <v>9</v>
      </c>
      <c r="B8" s="14"/>
      <c r="C8" s="8" t="str">
        <f>TEXT(DATE($G$7,$C$7,1),"mmmm yyyy")</f>
        <v>July 2026</v>
      </c>
      <c r="D8" s="8"/>
      <c r="E8" s="8"/>
      <c r="F8" s="14"/>
      <c r="G8" s="14"/>
      <c r="H8" s="14"/>
      <c r="I8" s="14"/>
      <c r="J8" s="14"/>
      <c r="K8" s="14"/>
      <c r="L8" s="14"/>
      <c r="M8" s="14"/>
      <c r="O8" s="11"/>
      <c r="P8" s="11"/>
    </row>
    <row r="9" spans="1:16" ht="14.2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O9" s="11"/>
      <c r="P9" s="11"/>
    </row>
    <row r="10" spans="1:16" ht="23.4" customHeight="1" x14ac:dyDescent="0.3">
      <c r="A10" s="7" t="s">
        <v>10</v>
      </c>
      <c r="B10" s="7"/>
      <c r="C10" s="18" t="s">
        <v>11</v>
      </c>
      <c r="D10" s="19">
        <v>0.375</v>
      </c>
      <c r="E10" s="18" t="s">
        <v>12</v>
      </c>
      <c r="F10" s="19">
        <v>0.70833333333333304</v>
      </c>
      <c r="G10" s="18" t="s">
        <v>13</v>
      </c>
      <c r="H10" s="20">
        <v>13</v>
      </c>
      <c r="I10" s="6" t="s">
        <v>86</v>
      </c>
      <c r="J10" s="6"/>
      <c r="K10" s="6"/>
      <c r="L10" s="6"/>
      <c r="M10" s="6"/>
    </row>
    <row r="11" spans="1:16" ht="24" customHeight="1" x14ac:dyDescent="0.3">
      <c r="G11" s="18" t="s">
        <v>84</v>
      </c>
      <c r="H11" s="19" t="s">
        <v>85</v>
      </c>
      <c r="I11" s="6" t="s">
        <v>87</v>
      </c>
      <c r="J11" s="6"/>
      <c r="K11" s="6"/>
      <c r="L11" s="6"/>
      <c r="M11" s="6"/>
      <c r="O11" s="5" t="s">
        <v>14</v>
      </c>
      <c r="P11" s="5"/>
    </row>
    <row r="12" spans="1:16" ht="30" customHeight="1" x14ac:dyDescent="0.3">
      <c r="A12" s="21" t="s">
        <v>15</v>
      </c>
      <c r="B12" s="21" t="s">
        <v>16</v>
      </c>
      <c r="C12" s="21" t="s">
        <v>17</v>
      </c>
      <c r="D12" s="21" t="s">
        <v>18</v>
      </c>
      <c r="E12" s="21" t="s">
        <v>19</v>
      </c>
      <c r="F12" s="21" t="s">
        <v>20</v>
      </c>
      <c r="G12" s="21" t="s">
        <v>21</v>
      </c>
      <c r="H12" s="21" t="s">
        <v>22</v>
      </c>
      <c r="I12" s="21" t="s">
        <v>23</v>
      </c>
      <c r="J12" s="21" t="s">
        <v>24</v>
      </c>
      <c r="K12" s="21" t="s">
        <v>83</v>
      </c>
      <c r="L12" s="21" t="s">
        <v>25</v>
      </c>
      <c r="M12" s="21" t="s">
        <v>26</v>
      </c>
      <c r="O12" s="22" t="s">
        <v>27</v>
      </c>
      <c r="P12" s="22" t="s">
        <v>28</v>
      </c>
    </row>
    <row r="13" spans="1:16" ht="15" customHeight="1" x14ac:dyDescent="0.3">
      <c r="A13" s="23">
        <f>IF(C13="","",1)</f>
        <v>1</v>
      </c>
      <c r="B13" s="23" t="str">
        <f t="shared" ref="B13:B43" si="0">IF(C13="","",TEXT(C13,"dddd"))</f>
        <v>Wednesday</v>
      </c>
      <c r="C13" s="24">
        <f>IF(1&lt;=DAY(EOMONTH(DATE($G$7,$C$7,1),0)),DATE($G$7,$C$7,1),"")</f>
        <v>46204</v>
      </c>
      <c r="D13" s="25" t="str">
        <f t="shared" ref="D13:D43" si="1">IF(C13="","",IF(OR(B13="Friday",B13="Saturday"),"WE","OD"))</f>
        <v>OD</v>
      </c>
      <c r="E13" s="26"/>
      <c r="F13" s="26"/>
      <c r="G13" s="27" t="str">
        <f t="shared" ref="G13:G31" si="2">IF(OR(C13="",E13=""),"",MAX(E13-$D$10,0))</f>
        <v/>
      </c>
      <c r="H13" s="27" t="str">
        <f t="shared" ref="H13:H43" si="3">IF(OR(C13="",F13=""),"",MAX($F$10-F13,0))</f>
        <v/>
      </c>
      <c r="I13" s="27">
        <f t="shared" ref="I13:I43" si="4">IF(OR(C13="",E13="",F13=""),0,F13-E13)</f>
        <v>0</v>
      </c>
      <c r="J13" s="28">
        <f t="shared" ref="J13:J43" si="5">IF(I13=0,0,MIN(MAX(I13*24-8,0),($H$10-8))/24)</f>
        <v>0</v>
      </c>
      <c r="K13" s="29">
        <f t="shared" ref="K13:K43" si="6">IF(I13=0,0,MAX(I13*24-$H$10,0)/24)</f>
        <v>0</v>
      </c>
      <c r="L13" s="30"/>
      <c r="M13" s="31"/>
      <c r="O13" s="32" t="s">
        <v>29</v>
      </c>
      <c r="P13" s="33" t="s">
        <v>30</v>
      </c>
    </row>
    <row r="14" spans="1:16" ht="15" customHeight="1" x14ac:dyDescent="0.3">
      <c r="A14" s="34">
        <f>IF(C14="","",2)</f>
        <v>2</v>
      </c>
      <c r="B14" s="34" t="str">
        <f t="shared" si="0"/>
        <v>Thursday</v>
      </c>
      <c r="C14" s="35">
        <f>IF(2&lt;=DAY(EOMONTH(DATE($G$7,$C$7,1),0)),DATE($G$7,$C$7,2),"")</f>
        <v>46205</v>
      </c>
      <c r="D14" s="36" t="str">
        <f t="shared" si="1"/>
        <v>OD</v>
      </c>
      <c r="E14" s="37"/>
      <c r="F14" s="37"/>
      <c r="G14" s="38" t="str">
        <f t="shared" si="2"/>
        <v/>
      </c>
      <c r="H14" s="38" t="str">
        <f t="shared" si="3"/>
        <v/>
      </c>
      <c r="I14" s="38">
        <f t="shared" si="4"/>
        <v>0</v>
      </c>
      <c r="J14" s="39">
        <f t="shared" si="5"/>
        <v>0</v>
      </c>
      <c r="K14" s="40">
        <f t="shared" si="6"/>
        <v>0</v>
      </c>
      <c r="L14" s="41"/>
      <c r="M14" s="42"/>
      <c r="O14" s="32" t="s">
        <v>31</v>
      </c>
      <c r="P14" s="33" t="s">
        <v>32</v>
      </c>
    </row>
    <row r="15" spans="1:16" ht="15" customHeight="1" x14ac:dyDescent="0.3">
      <c r="A15" s="23">
        <f>IF(C15="","",3)</f>
        <v>3</v>
      </c>
      <c r="B15" s="23" t="str">
        <f t="shared" si="0"/>
        <v>Friday</v>
      </c>
      <c r="C15" s="24">
        <f>IF(3&lt;=DAY(EOMONTH(DATE($G$7,$C$7,1),0)),DATE($G$7,$C$7,3),"")</f>
        <v>46206</v>
      </c>
      <c r="D15" s="25" t="str">
        <f t="shared" si="1"/>
        <v>WE</v>
      </c>
      <c r="E15" s="26"/>
      <c r="F15" s="26"/>
      <c r="G15" s="27" t="str">
        <f t="shared" si="2"/>
        <v/>
      </c>
      <c r="H15" s="27" t="str">
        <f t="shared" si="3"/>
        <v/>
      </c>
      <c r="I15" s="27">
        <f t="shared" si="4"/>
        <v>0</v>
      </c>
      <c r="J15" s="28">
        <f t="shared" si="5"/>
        <v>0</v>
      </c>
      <c r="K15" s="29">
        <f t="shared" si="6"/>
        <v>0</v>
      </c>
      <c r="L15" s="30"/>
      <c r="M15" s="31"/>
      <c r="O15" s="32" t="s">
        <v>33</v>
      </c>
      <c r="P15" s="33" t="s">
        <v>34</v>
      </c>
    </row>
    <row r="16" spans="1:16" ht="15" customHeight="1" x14ac:dyDescent="0.3">
      <c r="A16" s="34">
        <f>IF(C16="","",4)</f>
        <v>4</v>
      </c>
      <c r="B16" s="34" t="str">
        <f t="shared" si="0"/>
        <v>Saturday</v>
      </c>
      <c r="C16" s="35">
        <f>IF(4&lt;=DAY(EOMONTH(DATE($G$7,$C$7,1),0)),DATE($G$7,$C$7,4),"")</f>
        <v>46207</v>
      </c>
      <c r="D16" s="36" t="str">
        <f t="shared" si="1"/>
        <v>WE</v>
      </c>
      <c r="E16" s="37"/>
      <c r="F16" s="37"/>
      <c r="G16" s="38" t="str">
        <f t="shared" si="2"/>
        <v/>
      </c>
      <c r="H16" s="38" t="str">
        <f t="shared" si="3"/>
        <v/>
      </c>
      <c r="I16" s="38">
        <f t="shared" si="4"/>
        <v>0</v>
      </c>
      <c r="J16" s="39">
        <f t="shared" si="5"/>
        <v>0</v>
      </c>
      <c r="K16" s="40">
        <f t="shared" si="6"/>
        <v>0</v>
      </c>
      <c r="L16" s="41"/>
      <c r="M16" s="42"/>
      <c r="O16" s="32" t="s">
        <v>35</v>
      </c>
      <c r="P16" s="33" t="s">
        <v>36</v>
      </c>
    </row>
    <row r="17" spans="1:16" ht="15" customHeight="1" x14ac:dyDescent="0.3">
      <c r="A17" s="23">
        <f>IF(C17="","",5)</f>
        <v>5</v>
      </c>
      <c r="B17" s="23" t="str">
        <f t="shared" si="0"/>
        <v>Sunday</v>
      </c>
      <c r="C17" s="24">
        <f>IF(5&lt;=DAY(EOMONTH(DATE($G$7,$C$7,1),0)),DATE($G$7,$C$7,5),"")</f>
        <v>46208</v>
      </c>
      <c r="D17" s="25" t="str">
        <f t="shared" si="1"/>
        <v>OD</v>
      </c>
      <c r="E17" s="26"/>
      <c r="F17" s="26"/>
      <c r="G17" s="27" t="str">
        <f t="shared" si="2"/>
        <v/>
      </c>
      <c r="H17" s="27" t="str">
        <f t="shared" si="3"/>
        <v/>
      </c>
      <c r="I17" s="27">
        <f t="shared" si="4"/>
        <v>0</v>
      </c>
      <c r="J17" s="28">
        <f t="shared" si="5"/>
        <v>0</v>
      </c>
      <c r="K17" s="29">
        <f t="shared" si="6"/>
        <v>0</v>
      </c>
      <c r="L17" s="30"/>
      <c r="M17" s="31"/>
      <c r="O17" s="32" t="s">
        <v>37</v>
      </c>
      <c r="P17" s="33" t="s">
        <v>38</v>
      </c>
    </row>
    <row r="18" spans="1:16" ht="15" customHeight="1" x14ac:dyDescent="0.3">
      <c r="A18" s="34">
        <f>IF(C18="","",6)</f>
        <v>6</v>
      </c>
      <c r="B18" s="34" t="str">
        <f t="shared" si="0"/>
        <v>Monday</v>
      </c>
      <c r="C18" s="35">
        <f>IF(6&lt;=DAY(EOMONTH(DATE($G$7,$C$7,1),0)),DATE($G$7,$C$7,6),"")</f>
        <v>46209</v>
      </c>
      <c r="D18" s="36" t="str">
        <f t="shared" si="1"/>
        <v>OD</v>
      </c>
      <c r="E18" s="37"/>
      <c r="F18" s="37"/>
      <c r="G18" s="38" t="str">
        <f t="shared" si="2"/>
        <v/>
      </c>
      <c r="H18" s="38" t="str">
        <f t="shared" si="3"/>
        <v/>
      </c>
      <c r="I18" s="38">
        <f t="shared" si="4"/>
        <v>0</v>
      </c>
      <c r="J18" s="39">
        <f t="shared" si="5"/>
        <v>0</v>
      </c>
      <c r="K18" s="40">
        <f t="shared" si="6"/>
        <v>0</v>
      </c>
      <c r="L18" s="41"/>
      <c r="M18" s="42"/>
      <c r="O18" s="32" t="s">
        <v>39</v>
      </c>
      <c r="P18" s="33" t="s">
        <v>40</v>
      </c>
    </row>
    <row r="19" spans="1:16" ht="15" customHeight="1" x14ac:dyDescent="0.3">
      <c r="A19" s="23">
        <f>IF(C19="","",7)</f>
        <v>7</v>
      </c>
      <c r="B19" s="23" t="str">
        <f t="shared" si="0"/>
        <v>Tuesday</v>
      </c>
      <c r="C19" s="24">
        <f>IF(7&lt;=DAY(EOMONTH(DATE($G$7,$C$7,1),0)),DATE($G$7,$C$7,7),"")</f>
        <v>46210</v>
      </c>
      <c r="D19" s="25" t="str">
        <f t="shared" si="1"/>
        <v>OD</v>
      </c>
      <c r="E19" s="26"/>
      <c r="F19" s="26"/>
      <c r="G19" s="27" t="str">
        <f t="shared" si="2"/>
        <v/>
      </c>
      <c r="H19" s="27" t="str">
        <f t="shared" si="3"/>
        <v/>
      </c>
      <c r="I19" s="27">
        <f t="shared" si="4"/>
        <v>0</v>
      </c>
      <c r="J19" s="28">
        <f t="shared" si="5"/>
        <v>0</v>
      </c>
      <c r="K19" s="29">
        <f t="shared" si="6"/>
        <v>0</v>
      </c>
      <c r="L19" s="30"/>
      <c r="M19" s="31"/>
      <c r="O19" s="32" t="s">
        <v>41</v>
      </c>
      <c r="P19" s="33" t="s">
        <v>42</v>
      </c>
    </row>
    <row r="20" spans="1:16" ht="15" customHeight="1" x14ac:dyDescent="0.3">
      <c r="A20" s="34">
        <f>IF(C20="","",8)</f>
        <v>8</v>
      </c>
      <c r="B20" s="34" t="str">
        <f t="shared" si="0"/>
        <v>Wednesday</v>
      </c>
      <c r="C20" s="35">
        <f>IF(8&lt;=DAY(EOMONTH(DATE($G$7,$C$7,1),0)),DATE($G$7,$C$7,8),"")</f>
        <v>46211</v>
      </c>
      <c r="D20" s="25" t="str">
        <f t="shared" si="1"/>
        <v>OD</v>
      </c>
      <c r="E20" s="37"/>
      <c r="F20" s="37"/>
      <c r="G20" s="38" t="str">
        <f t="shared" si="2"/>
        <v/>
      </c>
      <c r="H20" s="38" t="str">
        <f t="shared" si="3"/>
        <v/>
      </c>
      <c r="I20" s="38">
        <f t="shared" si="4"/>
        <v>0</v>
      </c>
      <c r="J20" s="39">
        <f t="shared" si="5"/>
        <v>0</v>
      </c>
      <c r="K20" s="40">
        <f t="shared" si="6"/>
        <v>0</v>
      </c>
      <c r="L20" s="41"/>
      <c r="M20" s="42"/>
      <c r="O20" s="32" t="s">
        <v>43</v>
      </c>
      <c r="P20" s="33" t="s">
        <v>44</v>
      </c>
    </row>
    <row r="21" spans="1:16" ht="15" customHeight="1" x14ac:dyDescent="0.3">
      <c r="A21" s="23">
        <f>IF(C21="","",9)</f>
        <v>9</v>
      </c>
      <c r="B21" s="23" t="str">
        <f t="shared" si="0"/>
        <v>Thursday</v>
      </c>
      <c r="C21" s="24">
        <f>IF(9&lt;=DAY(EOMONTH(DATE($G$7,$C$7,1),0)),DATE($G$7,$C$7,9),"")</f>
        <v>46212</v>
      </c>
      <c r="D21" s="25" t="str">
        <f t="shared" si="1"/>
        <v>OD</v>
      </c>
      <c r="E21" s="26"/>
      <c r="F21" s="26"/>
      <c r="G21" s="27" t="str">
        <f t="shared" si="2"/>
        <v/>
      </c>
      <c r="H21" s="27" t="str">
        <f t="shared" si="3"/>
        <v/>
      </c>
      <c r="I21" s="27">
        <f t="shared" si="4"/>
        <v>0</v>
      </c>
      <c r="J21" s="28">
        <f t="shared" si="5"/>
        <v>0</v>
      </c>
      <c r="K21" s="29">
        <f t="shared" si="6"/>
        <v>0</v>
      </c>
      <c r="L21" s="30"/>
      <c r="M21" s="31"/>
      <c r="O21" s="32" t="s">
        <v>45</v>
      </c>
      <c r="P21" s="33" t="s">
        <v>46</v>
      </c>
    </row>
    <row r="22" spans="1:16" ht="15" customHeight="1" x14ac:dyDescent="0.3">
      <c r="A22" s="34">
        <f>IF(C22="","",10)</f>
        <v>10</v>
      </c>
      <c r="B22" s="34" t="str">
        <f t="shared" si="0"/>
        <v>Friday</v>
      </c>
      <c r="C22" s="35">
        <f>IF(10&lt;=DAY(EOMONTH(DATE($G$7,$C$7,1),0)),DATE($G$7,$C$7,10),"")</f>
        <v>46213</v>
      </c>
      <c r="D22" s="25" t="str">
        <f t="shared" si="1"/>
        <v>WE</v>
      </c>
      <c r="E22" s="37"/>
      <c r="F22" s="37"/>
      <c r="G22" s="38" t="str">
        <f t="shared" si="2"/>
        <v/>
      </c>
      <c r="H22" s="38" t="str">
        <f t="shared" si="3"/>
        <v/>
      </c>
      <c r="I22" s="38">
        <f t="shared" si="4"/>
        <v>0</v>
      </c>
      <c r="J22" s="39">
        <f t="shared" si="5"/>
        <v>0</v>
      </c>
      <c r="K22" s="40">
        <f t="shared" si="6"/>
        <v>0</v>
      </c>
      <c r="L22" s="41"/>
      <c r="M22" s="42"/>
      <c r="O22" s="32" t="s">
        <v>47</v>
      </c>
      <c r="P22" s="33" t="s">
        <v>48</v>
      </c>
    </row>
    <row r="23" spans="1:16" ht="15" customHeight="1" x14ac:dyDescent="0.3">
      <c r="A23" s="23">
        <f>IF(C23="","",11)</f>
        <v>11</v>
      </c>
      <c r="B23" s="23" t="str">
        <f t="shared" si="0"/>
        <v>Saturday</v>
      </c>
      <c r="C23" s="24">
        <f>IF(11&lt;=DAY(EOMONTH(DATE($G$7,$C$7,1),0)),DATE($G$7,$C$7,11),"")</f>
        <v>46214</v>
      </c>
      <c r="D23" s="25" t="str">
        <f t="shared" si="1"/>
        <v>WE</v>
      </c>
      <c r="E23" s="26"/>
      <c r="F23" s="26"/>
      <c r="G23" s="27" t="str">
        <f t="shared" si="2"/>
        <v/>
      </c>
      <c r="H23" s="27" t="str">
        <f t="shared" si="3"/>
        <v/>
      </c>
      <c r="I23" s="27">
        <f t="shared" si="4"/>
        <v>0</v>
      </c>
      <c r="J23" s="28">
        <f t="shared" si="5"/>
        <v>0</v>
      </c>
      <c r="K23" s="29">
        <f t="shared" si="6"/>
        <v>0</v>
      </c>
      <c r="L23" s="30"/>
      <c r="M23" s="31"/>
      <c r="O23" s="32" t="s">
        <v>49</v>
      </c>
      <c r="P23" s="33" t="s">
        <v>50</v>
      </c>
    </row>
    <row r="24" spans="1:16" ht="15" customHeight="1" x14ac:dyDescent="0.3">
      <c r="A24" s="34">
        <f>IF(C24="","",12)</f>
        <v>12</v>
      </c>
      <c r="B24" s="34" t="str">
        <f t="shared" si="0"/>
        <v>Sunday</v>
      </c>
      <c r="C24" s="35">
        <f>IF(12&lt;=DAY(EOMONTH(DATE($G$7,$C$7,1),0)),DATE($G$7,$C$7,12),"")</f>
        <v>46215</v>
      </c>
      <c r="D24" s="36" t="str">
        <f t="shared" si="1"/>
        <v>OD</v>
      </c>
      <c r="E24" s="37"/>
      <c r="F24" s="37"/>
      <c r="G24" s="38" t="str">
        <f t="shared" si="2"/>
        <v/>
      </c>
      <c r="H24" s="38" t="str">
        <f t="shared" si="3"/>
        <v/>
      </c>
      <c r="I24" s="38">
        <f t="shared" si="4"/>
        <v>0</v>
      </c>
      <c r="J24" s="39">
        <f t="shared" si="5"/>
        <v>0</v>
      </c>
      <c r="K24" s="40">
        <f t="shared" si="6"/>
        <v>0</v>
      </c>
      <c r="L24" s="41"/>
      <c r="M24" s="42"/>
      <c r="O24" s="32" t="s">
        <v>51</v>
      </c>
      <c r="P24" s="33" t="s">
        <v>52</v>
      </c>
    </row>
    <row r="25" spans="1:16" ht="14.25" customHeight="1" x14ac:dyDescent="0.3">
      <c r="A25" s="23">
        <f>IF(C25="","",13)</f>
        <v>13</v>
      </c>
      <c r="B25" s="23" t="str">
        <f t="shared" si="0"/>
        <v>Monday</v>
      </c>
      <c r="C25" s="24">
        <f>IF(13&lt;=DAY(EOMONTH(DATE($G$7,$C$7,1),0)),DATE($G$7,$C$7,13),"")</f>
        <v>46216</v>
      </c>
      <c r="D25" s="25" t="str">
        <f t="shared" si="1"/>
        <v>OD</v>
      </c>
      <c r="E25" s="26"/>
      <c r="F25" s="26"/>
      <c r="G25" s="27" t="str">
        <f t="shared" si="2"/>
        <v/>
      </c>
      <c r="H25" s="27" t="str">
        <f t="shared" si="3"/>
        <v/>
      </c>
      <c r="I25" s="27">
        <f t="shared" si="4"/>
        <v>0</v>
      </c>
      <c r="J25" s="28">
        <f t="shared" si="5"/>
        <v>0</v>
      </c>
      <c r="K25" s="29">
        <f t="shared" si="6"/>
        <v>0</v>
      </c>
      <c r="L25" s="30"/>
      <c r="M25" s="31"/>
      <c r="O25" s="4" t="s">
        <v>53</v>
      </c>
      <c r="P25" s="4"/>
    </row>
    <row r="26" spans="1:16" ht="14.25" customHeight="1" x14ac:dyDescent="0.3">
      <c r="A26" s="34">
        <f>IF(C26="","",14)</f>
        <v>14</v>
      </c>
      <c r="B26" s="34" t="str">
        <f t="shared" si="0"/>
        <v>Tuesday</v>
      </c>
      <c r="C26" s="35">
        <f>IF(14&lt;=DAY(EOMONTH(DATE($G$7,$C$7,1),0)),DATE($G$7,$C$7,14),"")</f>
        <v>46217</v>
      </c>
      <c r="D26" s="25" t="str">
        <f t="shared" si="1"/>
        <v>OD</v>
      </c>
      <c r="E26" s="37"/>
      <c r="F26" s="37"/>
      <c r="G26" s="38" t="str">
        <f t="shared" si="2"/>
        <v/>
      </c>
      <c r="H26" s="38" t="str">
        <f t="shared" si="3"/>
        <v/>
      </c>
      <c r="I26" s="38">
        <f t="shared" si="4"/>
        <v>0</v>
      </c>
      <c r="J26" s="39">
        <f t="shared" si="5"/>
        <v>0</v>
      </c>
      <c r="K26" s="40">
        <f t="shared" si="6"/>
        <v>0</v>
      </c>
      <c r="L26" s="41"/>
      <c r="M26" s="42"/>
      <c r="O26" s="32" t="s">
        <v>54</v>
      </c>
      <c r="P26" s="33" t="s">
        <v>55</v>
      </c>
    </row>
    <row r="27" spans="1:16" ht="15" customHeight="1" x14ac:dyDescent="0.3">
      <c r="A27" s="23">
        <f>IF(C27="","",15)</f>
        <v>15</v>
      </c>
      <c r="B27" s="23" t="str">
        <f t="shared" si="0"/>
        <v>Wednesday</v>
      </c>
      <c r="C27" s="24">
        <f>IF(15&lt;=DAY(EOMONTH(DATE($G$7,$C$7,1),0)),DATE($G$7,$C$7,15),"")</f>
        <v>46218</v>
      </c>
      <c r="D27" s="25" t="str">
        <f t="shared" si="1"/>
        <v>OD</v>
      </c>
      <c r="E27" s="26"/>
      <c r="F27" s="26"/>
      <c r="G27" s="27" t="str">
        <f t="shared" si="2"/>
        <v/>
      </c>
      <c r="H27" s="27" t="str">
        <f t="shared" si="3"/>
        <v/>
      </c>
      <c r="I27" s="27">
        <f t="shared" si="4"/>
        <v>0</v>
      </c>
      <c r="J27" s="28">
        <f t="shared" si="5"/>
        <v>0</v>
      </c>
      <c r="K27" s="29">
        <f t="shared" si="6"/>
        <v>0</v>
      </c>
      <c r="L27" s="30"/>
      <c r="M27" s="31"/>
      <c r="O27" s="32" t="s">
        <v>56</v>
      </c>
      <c r="P27" s="33" t="s">
        <v>57</v>
      </c>
    </row>
    <row r="28" spans="1:16" ht="15" customHeight="1" x14ac:dyDescent="0.3">
      <c r="A28" s="34">
        <f>IF(C28="","",16)</f>
        <v>16</v>
      </c>
      <c r="B28" s="34" t="str">
        <f t="shared" si="0"/>
        <v>Thursday</v>
      </c>
      <c r="C28" s="35">
        <f>IF(16&lt;=DAY(EOMONTH(DATE($G$7,$C$7,1),0)),DATE($G$7,$C$7,16),"")</f>
        <v>46219</v>
      </c>
      <c r="D28" s="25" t="str">
        <f t="shared" si="1"/>
        <v>OD</v>
      </c>
      <c r="E28" s="37"/>
      <c r="F28" s="37"/>
      <c r="G28" s="38" t="str">
        <f t="shared" si="2"/>
        <v/>
      </c>
      <c r="H28" s="38" t="str">
        <f t="shared" si="3"/>
        <v/>
      </c>
      <c r="I28" s="38">
        <f t="shared" si="4"/>
        <v>0</v>
      </c>
      <c r="J28" s="39">
        <f t="shared" si="5"/>
        <v>0</v>
      </c>
      <c r="K28" s="40">
        <f t="shared" si="6"/>
        <v>0</v>
      </c>
      <c r="L28" s="41"/>
      <c r="M28" s="42"/>
    </row>
    <row r="29" spans="1:16" ht="15" customHeight="1" x14ac:dyDescent="0.3">
      <c r="A29" s="23">
        <f>IF(C29="","",17)</f>
        <v>17</v>
      </c>
      <c r="B29" s="23" t="str">
        <f t="shared" si="0"/>
        <v>Friday</v>
      </c>
      <c r="C29" s="24">
        <f>IF(17&lt;=DAY(EOMONTH(DATE($G$7,$C$7,1),0)),DATE($G$7,$C$7,17),"")</f>
        <v>46220</v>
      </c>
      <c r="D29" s="25" t="str">
        <f t="shared" si="1"/>
        <v>WE</v>
      </c>
      <c r="E29" s="26"/>
      <c r="F29" s="26"/>
      <c r="G29" s="27" t="str">
        <f t="shared" si="2"/>
        <v/>
      </c>
      <c r="H29" s="27" t="str">
        <f t="shared" si="3"/>
        <v/>
      </c>
      <c r="I29" s="27">
        <f t="shared" si="4"/>
        <v>0</v>
      </c>
      <c r="J29" s="28">
        <f t="shared" si="5"/>
        <v>0</v>
      </c>
      <c r="K29" s="29">
        <f t="shared" si="6"/>
        <v>0</v>
      </c>
      <c r="L29" s="30"/>
      <c r="M29" s="31"/>
      <c r="O29" s="3" t="s">
        <v>58</v>
      </c>
      <c r="P29" s="3"/>
    </row>
    <row r="30" spans="1:16" ht="15" customHeight="1" x14ac:dyDescent="0.3">
      <c r="A30" s="34">
        <f>IF(C30="","",18)</f>
        <v>18</v>
      </c>
      <c r="B30" s="34" t="str">
        <f t="shared" si="0"/>
        <v>Saturday</v>
      </c>
      <c r="C30" s="35">
        <f>IF(18&lt;=DAY(EOMONTH(DATE($G$7,$C$7,1),0)),DATE($G$7,$C$7,18),"")</f>
        <v>46221</v>
      </c>
      <c r="D30" s="25" t="str">
        <f t="shared" si="1"/>
        <v>WE</v>
      </c>
      <c r="E30" s="37"/>
      <c r="F30" s="37"/>
      <c r="G30" s="38" t="str">
        <f t="shared" si="2"/>
        <v/>
      </c>
      <c r="H30" s="38" t="str">
        <f t="shared" si="3"/>
        <v/>
      </c>
      <c r="I30" s="38">
        <f t="shared" si="4"/>
        <v>0</v>
      </c>
      <c r="J30" s="39">
        <f t="shared" si="5"/>
        <v>0</v>
      </c>
      <c r="K30" s="40">
        <f t="shared" si="6"/>
        <v>0</v>
      </c>
      <c r="L30" s="41"/>
      <c r="M30" s="42"/>
      <c r="O30" s="43" t="s">
        <v>59</v>
      </c>
      <c r="P30" s="44">
        <f>DAY(EOMONTH(DATE($G$7,$C$7,1),0))</f>
        <v>31</v>
      </c>
    </row>
    <row r="31" spans="1:16" ht="15" customHeight="1" x14ac:dyDescent="0.3">
      <c r="A31" s="23">
        <f>IF(C31="","",19)</f>
        <v>19</v>
      </c>
      <c r="B31" s="23" t="str">
        <f t="shared" si="0"/>
        <v>Sunday</v>
      </c>
      <c r="C31" s="24">
        <f>IF(19&lt;=DAY(EOMONTH(DATE($G$7,$C$7,1),0)),DATE($G$7,$C$7,19),"")</f>
        <v>46222</v>
      </c>
      <c r="D31" s="25" t="str">
        <f t="shared" si="1"/>
        <v>OD</v>
      </c>
      <c r="E31" s="26"/>
      <c r="F31" s="26"/>
      <c r="G31" s="27" t="str">
        <f t="shared" si="2"/>
        <v/>
      </c>
      <c r="H31" s="27" t="str">
        <f t="shared" si="3"/>
        <v/>
      </c>
      <c r="I31" s="27">
        <f t="shared" si="4"/>
        <v>0</v>
      </c>
      <c r="J31" s="28">
        <f t="shared" si="5"/>
        <v>0</v>
      </c>
      <c r="K31" s="29">
        <f t="shared" si="6"/>
        <v>0</v>
      </c>
      <c r="L31" s="30"/>
      <c r="M31" s="31"/>
      <c r="O31" s="43" t="s">
        <v>60</v>
      </c>
      <c r="P31" s="44">
        <f>COUNTIF(D13:D43,"OD")+COUNTIF(D13:D43,"FD")+COUNTIF(D13:D43,"EF")+COUNTIF(D13:D43,"COD")+COUNTIF(D13:D43,"WWE")</f>
        <v>22</v>
      </c>
    </row>
    <row r="32" spans="1:16" ht="15" customHeight="1" x14ac:dyDescent="0.3">
      <c r="A32" s="34">
        <f>IF(C32="","",20)</f>
        <v>20</v>
      </c>
      <c r="B32" s="34" t="str">
        <f t="shared" si="0"/>
        <v>Monday</v>
      </c>
      <c r="C32" s="35">
        <f>IF(20&lt;=DAY(EOMONTH(DATE($G$7,$C$7,1),0)),DATE($G$7,$C$7,20),"")</f>
        <v>46223</v>
      </c>
      <c r="D32" s="36" t="str">
        <f t="shared" si="1"/>
        <v>OD</v>
      </c>
      <c r="E32" s="37"/>
      <c r="F32" s="37"/>
      <c r="G32" s="38"/>
      <c r="H32" s="38" t="str">
        <f t="shared" si="3"/>
        <v/>
      </c>
      <c r="I32" s="38">
        <f t="shared" si="4"/>
        <v>0</v>
      </c>
      <c r="J32" s="39">
        <f t="shared" si="5"/>
        <v>0</v>
      </c>
      <c r="K32" s="40">
        <f t="shared" si="6"/>
        <v>0</v>
      </c>
      <c r="L32" s="41"/>
      <c r="M32" s="42"/>
      <c r="O32" s="43" t="s">
        <v>61</v>
      </c>
      <c r="P32" s="45">
        <f>I44</f>
        <v>0</v>
      </c>
    </row>
    <row r="33" spans="1:16" ht="15" customHeight="1" x14ac:dyDescent="0.3">
      <c r="A33" s="23">
        <f>IF(C33="","",21)</f>
        <v>21</v>
      </c>
      <c r="B33" s="23" t="str">
        <f t="shared" si="0"/>
        <v>Tuesday</v>
      </c>
      <c r="C33" s="24">
        <f>IF(21&lt;=DAY(EOMONTH(DATE($G$7,$C$7,1),0)),DATE($G$7,$C$7,21),"")</f>
        <v>46224</v>
      </c>
      <c r="D33" s="25" t="str">
        <f t="shared" si="1"/>
        <v>OD</v>
      </c>
      <c r="E33" s="26"/>
      <c r="F33" s="26"/>
      <c r="G33" s="27" t="str">
        <f>IF(OR(C33="",E33=""),"",MAX(E33-$D$10,0))</f>
        <v/>
      </c>
      <c r="H33" s="27" t="str">
        <f t="shared" si="3"/>
        <v/>
      </c>
      <c r="I33" s="27">
        <f t="shared" si="4"/>
        <v>0</v>
      </c>
      <c r="J33" s="28">
        <f t="shared" si="5"/>
        <v>0</v>
      </c>
      <c r="K33" s="29">
        <f t="shared" si="6"/>
        <v>0</v>
      </c>
      <c r="L33" s="30"/>
      <c r="M33" s="31"/>
      <c r="O33" s="43" t="s">
        <v>62</v>
      </c>
      <c r="P33" s="45">
        <f>G44</f>
        <v>0</v>
      </c>
    </row>
    <row r="34" spans="1:16" ht="15" customHeight="1" x14ac:dyDescent="0.3">
      <c r="A34" s="34">
        <f>IF(C34="","",22)</f>
        <v>22</v>
      </c>
      <c r="B34" s="34" t="str">
        <f t="shared" si="0"/>
        <v>Wednesday</v>
      </c>
      <c r="C34" s="35">
        <f>IF(22&lt;=DAY(EOMONTH(DATE($G$7,$C$7,1),0)),DATE($G$7,$C$7,22),"")</f>
        <v>46225</v>
      </c>
      <c r="D34" s="25" t="str">
        <f t="shared" si="1"/>
        <v>OD</v>
      </c>
      <c r="E34" s="37"/>
      <c r="F34" s="37"/>
      <c r="G34" s="38" t="str">
        <f>IF(OR(C34="",E34=""),"",MAX(E34-$D$10,0))</f>
        <v/>
      </c>
      <c r="H34" s="38" t="str">
        <f t="shared" si="3"/>
        <v/>
      </c>
      <c r="I34" s="38">
        <f t="shared" si="4"/>
        <v>0</v>
      </c>
      <c r="J34" s="39">
        <f t="shared" si="5"/>
        <v>0</v>
      </c>
      <c r="K34" s="40">
        <f t="shared" si="6"/>
        <v>0</v>
      </c>
      <c r="L34" s="41"/>
      <c r="M34" s="42"/>
      <c r="O34" s="43" t="s">
        <v>63</v>
      </c>
      <c r="P34" s="45">
        <f>H44</f>
        <v>0</v>
      </c>
    </row>
    <row r="35" spans="1:16" ht="15" customHeight="1" x14ac:dyDescent="0.3">
      <c r="A35" s="23">
        <f>IF(C35="","",23)</f>
        <v>23</v>
      </c>
      <c r="B35" s="23" t="str">
        <f t="shared" si="0"/>
        <v>Thursday</v>
      </c>
      <c r="C35" s="24">
        <f>IF(23&lt;=DAY(EOMONTH(DATE($G$7,$C$7,1),0)),DATE($G$7,$C$7,23),"")</f>
        <v>46226</v>
      </c>
      <c r="D35" s="25" t="str">
        <f t="shared" si="1"/>
        <v>OD</v>
      </c>
      <c r="E35" s="26"/>
      <c r="F35" s="26"/>
      <c r="G35" s="27" t="str">
        <f>IF(OR(C35="",E35=""),"",MAX(E35-$D$10,0))</f>
        <v/>
      </c>
      <c r="H35" s="27" t="str">
        <f t="shared" si="3"/>
        <v/>
      </c>
      <c r="I35" s="27">
        <f t="shared" si="4"/>
        <v>0</v>
      </c>
      <c r="J35" s="28">
        <f t="shared" si="5"/>
        <v>0</v>
      </c>
      <c r="K35" s="29">
        <f t="shared" si="6"/>
        <v>0</v>
      </c>
      <c r="L35" s="30"/>
      <c r="M35" s="31"/>
      <c r="O35" s="43" t="s">
        <v>64</v>
      </c>
      <c r="P35" s="45">
        <f>J44</f>
        <v>0</v>
      </c>
    </row>
    <row r="36" spans="1:16" ht="15" customHeight="1" x14ac:dyDescent="0.3">
      <c r="A36" s="34">
        <f>IF(C36="","",24)</f>
        <v>24</v>
      </c>
      <c r="B36" s="34" t="str">
        <f t="shared" si="0"/>
        <v>Friday</v>
      </c>
      <c r="C36" s="35">
        <f>IF(24&lt;=DAY(EOMONTH(DATE($G$7,$C$7,1),0)),DATE($G$7,$C$7,24),"")</f>
        <v>46227</v>
      </c>
      <c r="D36" s="25" t="str">
        <f t="shared" si="1"/>
        <v>WE</v>
      </c>
      <c r="E36" s="37"/>
      <c r="F36" s="37"/>
      <c r="G36" s="38" t="str">
        <f>IF(OR(C36="",E36=""),"",MAX(E36-$D$10,0))</f>
        <v/>
      </c>
      <c r="H36" s="38" t="str">
        <f t="shared" si="3"/>
        <v/>
      </c>
      <c r="I36" s="38">
        <f t="shared" si="4"/>
        <v>0</v>
      </c>
      <c r="J36" s="39">
        <f t="shared" si="5"/>
        <v>0</v>
      </c>
      <c r="K36" s="40">
        <f t="shared" si="6"/>
        <v>0</v>
      </c>
      <c r="L36" s="41"/>
      <c r="M36" s="42"/>
      <c r="O36" s="43" t="s">
        <v>65</v>
      </c>
      <c r="P36" s="45">
        <f>K44</f>
        <v>0</v>
      </c>
    </row>
    <row r="37" spans="1:16" ht="15" customHeight="1" x14ac:dyDescent="0.3">
      <c r="A37" s="23">
        <f>IF(C37="","",25)</f>
        <v>25</v>
      </c>
      <c r="B37" s="23" t="str">
        <f t="shared" si="0"/>
        <v>Saturday</v>
      </c>
      <c r="C37" s="24">
        <f>IF(25&lt;=DAY(EOMONTH(DATE($G$7,$C$7,1),0)),DATE($G$7,$C$7,25),"")</f>
        <v>46228</v>
      </c>
      <c r="D37" s="25" t="str">
        <f t="shared" si="1"/>
        <v>WE</v>
      </c>
      <c r="E37" s="26"/>
      <c r="F37" s="26"/>
      <c r="G37" s="27" t="str">
        <f>IF(OR(C37="",E37=""),"",MAX(E37-$D$10,0))</f>
        <v/>
      </c>
      <c r="H37" s="27" t="str">
        <f t="shared" si="3"/>
        <v/>
      </c>
      <c r="I37" s="27">
        <f t="shared" si="4"/>
        <v>0</v>
      </c>
      <c r="J37" s="28">
        <f t="shared" si="5"/>
        <v>0</v>
      </c>
      <c r="K37" s="29">
        <f t="shared" si="6"/>
        <v>0</v>
      </c>
      <c r="L37" s="30"/>
      <c r="M37" s="31"/>
      <c r="O37" s="43" t="s">
        <v>66</v>
      </c>
      <c r="P37" s="45">
        <f>J44+K44</f>
        <v>0</v>
      </c>
    </row>
    <row r="38" spans="1:16" ht="15" customHeight="1" x14ac:dyDescent="0.3">
      <c r="A38" s="34">
        <f>IF(C38="","",26)</f>
        <v>26</v>
      </c>
      <c r="B38" s="34" t="str">
        <f t="shared" si="0"/>
        <v>Sunday</v>
      </c>
      <c r="C38" s="35">
        <f>IF(26&lt;=DAY(EOMONTH(DATE($G$7,$C$7,1),0)),DATE($G$7,$C$7,26),"")</f>
        <v>46229</v>
      </c>
      <c r="D38" s="36" t="str">
        <f t="shared" si="1"/>
        <v>OD</v>
      </c>
      <c r="E38" s="37"/>
      <c r="F38" s="37"/>
      <c r="G38" s="38"/>
      <c r="H38" s="38" t="str">
        <f t="shared" si="3"/>
        <v/>
      </c>
      <c r="I38" s="38">
        <f t="shared" si="4"/>
        <v>0</v>
      </c>
      <c r="J38" s="39">
        <f t="shared" si="5"/>
        <v>0</v>
      </c>
      <c r="K38" s="40">
        <f t="shared" si="6"/>
        <v>0</v>
      </c>
      <c r="L38" s="41"/>
      <c r="M38" s="42"/>
      <c r="O38" s="43" t="s">
        <v>67</v>
      </c>
      <c r="P38" s="44">
        <f>SUMPRODUCT((G13:G43&lt;&gt;"")*(G13:G43&gt;TIME(0,15,0)))</f>
        <v>0</v>
      </c>
    </row>
    <row r="39" spans="1:16" ht="15" customHeight="1" x14ac:dyDescent="0.3">
      <c r="A39" s="23">
        <f>IF(C39="","",27)</f>
        <v>27</v>
      </c>
      <c r="B39" s="23" t="str">
        <f t="shared" si="0"/>
        <v>Monday</v>
      </c>
      <c r="C39" s="24">
        <f>IF(27&lt;=DAY(EOMONTH(DATE($G$7,$C$7,1),0)),DATE($G$7,$C$7,27),"")</f>
        <v>46230</v>
      </c>
      <c r="D39" s="25" t="str">
        <f t="shared" si="1"/>
        <v>OD</v>
      </c>
      <c r="E39" s="26"/>
      <c r="F39" s="26"/>
      <c r="G39" s="27" t="str">
        <f>IF(OR(C39="",E39=""),"",MAX(E39-$D$10,0))</f>
        <v/>
      </c>
      <c r="H39" s="27" t="str">
        <f t="shared" si="3"/>
        <v/>
      </c>
      <c r="I39" s="27">
        <f t="shared" si="4"/>
        <v>0</v>
      </c>
      <c r="J39" s="28">
        <f t="shared" si="5"/>
        <v>0</v>
      </c>
      <c r="K39" s="29">
        <f t="shared" si="6"/>
        <v>0</v>
      </c>
      <c r="L39" s="30"/>
      <c r="M39" s="31"/>
      <c r="O39" s="43" t="s">
        <v>68</v>
      </c>
      <c r="P39" s="44">
        <f>COUNTIF(D13:D43,"AWP")</f>
        <v>0</v>
      </c>
    </row>
    <row r="40" spans="1:16" ht="15" customHeight="1" x14ac:dyDescent="0.3">
      <c r="A40" s="34">
        <f>IF(C40="","",28)</f>
        <v>28</v>
      </c>
      <c r="B40" s="34" t="str">
        <f t="shared" si="0"/>
        <v>Tuesday</v>
      </c>
      <c r="C40" s="35">
        <f>IF(28&lt;=DAY(EOMONTH(DATE($G$7,$C$7,1),0)),DATE($G$7,$C$7,28),"")</f>
        <v>46231</v>
      </c>
      <c r="D40" s="25" t="str">
        <f t="shared" si="1"/>
        <v>OD</v>
      </c>
      <c r="E40" s="37"/>
      <c r="F40" s="37"/>
      <c r="G40" s="38" t="str">
        <f>IF(OR(C40="",E40=""),"",MAX(E40-$D$10,0))</f>
        <v/>
      </c>
      <c r="H40" s="38" t="str">
        <f t="shared" si="3"/>
        <v/>
      </c>
      <c r="I40" s="38">
        <f t="shared" si="4"/>
        <v>0</v>
      </c>
      <c r="J40" s="39">
        <f t="shared" si="5"/>
        <v>0</v>
      </c>
      <c r="K40" s="40">
        <f t="shared" si="6"/>
        <v>0</v>
      </c>
      <c r="L40" s="41"/>
      <c r="M40" s="42"/>
      <c r="O40" s="43" t="s">
        <v>69</v>
      </c>
      <c r="P40" s="44">
        <f>COUNTA(M13:M43)</f>
        <v>0</v>
      </c>
    </row>
    <row r="41" spans="1:16" ht="15" customHeight="1" x14ac:dyDescent="0.3">
      <c r="A41" s="23">
        <f>IF(C41="","",29)</f>
        <v>29</v>
      </c>
      <c r="B41" s="23" t="str">
        <f t="shared" si="0"/>
        <v>Wednesday</v>
      </c>
      <c r="C41" s="24">
        <f>IF(29&lt;=DAY(EOMONTH(DATE($G$7,$C$7,1),0)),DATE($G$7,$C$7,29),"")</f>
        <v>46232</v>
      </c>
      <c r="D41" s="25" t="str">
        <f t="shared" si="1"/>
        <v>OD</v>
      </c>
      <c r="E41" s="26"/>
      <c r="F41" s="26"/>
      <c r="G41" s="27" t="str">
        <f>IF(OR(C41="",E41=""),"",MAX(E41-$D$10,0))</f>
        <v/>
      </c>
      <c r="H41" s="27" t="str">
        <f t="shared" si="3"/>
        <v/>
      </c>
      <c r="I41" s="27">
        <f t="shared" si="4"/>
        <v>0</v>
      </c>
      <c r="J41" s="28">
        <f t="shared" si="5"/>
        <v>0</v>
      </c>
      <c r="K41" s="29">
        <f t="shared" si="6"/>
        <v>0</v>
      </c>
      <c r="L41" s="23"/>
      <c r="M41" s="31"/>
    </row>
    <row r="42" spans="1:16" ht="15" customHeight="1" x14ac:dyDescent="0.3">
      <c r="A42" s="34">
        <f>IF(C42="","",30)</f>
        <v>30</v>
      </c>
      <c r="B42" s="34" t="str">
        <f t="shared" si="0"/>
        <v>Thursday</v>
      </c>
      <c r="C42" s="35">
        <f>IF(30&lt;=DAY(EOMONTH(DATE($G$7,$C$7,1),0)),DATE($G$7,$C$7,30),"")</f>
        <v>46233</v>
      </c>
      <c r="D42" s="25" t="str">
        <f t="shared" si="1"/>
        <v>OD</v>
      </c>
      <c r="E42" s="37"/>
      <c r="F42" s="37"/>
      <c r="G42" s="38" t="str">
        <f>IF(OR(C42="",E42=""),"",MAX(E42-$D$10,0))</f>
        <v/>
      </c>
      <c r="H42" s="38" t="str">
        <f t="shared" si="3"/>
        <v/>
      </c>
      <c r="I42" s="38">
        <f t="shared" si="4"/>
        <v>0</v>
      </c>
      <c r="J42" s="39">
        <f t="shared" si="5"/>
        <v>0</v>
      </c>
      <c r="K42" s="40">
        <f t="shared" si="6"/>
        <v>0</v>
      </c>
      <c r="L42" s="41"/>
      <c r="M42" s="42"/>
      <c r="O42" s="3" t="s">
        <v>70</v>
      </c>
      <c r="P42" s="3"/>
    </row>
    <row r="43" spans="1:16" ht="15" customHeight="1" x14ac:dyDescent="0.3">
      <c r="A43" s="23">
        <f>IF(C43="","",31)</f>
        <v>31</v>
      </c>
      <c r="B43" s="23" t="str">
        <f t="shared" si="0"/>
        <v>Friday</v>
      </c>
      <c r="C43" s="24">
        <f>IF(31&lt;=DAY(EOMONTH(DATE($G$7,$C$7,1),0)),DATE($G$7,$C$7,31),"")</f>
        <v>46234</v>
      </c>
      <c r="D43" s="25" t="str">
        <f t="shared" si="1"/>
        <v>WE</v>
      </c>
      <c r="E43" s="26"/>
      <c r="F43" s="26"/>
      <c r="G43" s="27" t="str">
        <f>IF(OR(C43="",E43=""),"",MAX(E43-$D$10,0))</f>
        <v/>
      </c>
      <c r="H43" s="27" t="str">
        <f t="shared" si="3"/>
        <v/>
      </c>
      <c r="I43" s="27">
        <f t="shared" si="4"/>
        <v>0</v>
      </c>
      <c r="J43" s="28">
        <f t="shared" si="5"/>
        <v>0</v>
      </c>
      <c r="K43" s="29">
        <f t="shared" si="6"/>
        <v>0</v>
      </c>
      <c r="L43" s="30"/>
      <c r="M43" s="31"/>
      <c r="O43" s="43" t="s">
        <v>71</v>
      </c>
      <c r="P43" s="46">
        <v>0</v>
      </c>
    </row>
    <row r="44" spans="1:16" ht="15" customHeight="1" x14ac:dyDescent="0.3">
      <c r="A44" s="5" t="s">
        <v>72</v>
      </c>
      <c r="B44" s="5"/>
      <c r="C44" s="5"/>
      <c r="D44" s="5"/>
      <c r="E44" s="5"/>
      <c r="F44" s="5"/>
      <c r="G44" s="47">
        <f>SUM(G13:G43)</f>
        <v>0</v>
      </c>
      <c r="H44" s="47">
        <f>SUM(H13:H43)</f>
        <v>0</v>
      </c>
      <c r="I44" s="47">
        <f>SUM(I13:I43)</f>
        <v>0</v>
      </c>
      <c r="J44" s="47">
        <f>SUM(J13:J43)</f>
        <v>0</v>
      </c>
      <c r="K44" s="47">
        <f>SUM(K13:K43)</f>
        <v>0</v>
      </c>
      <c r="L44" s="48"/>
      <c r="M44" s="21" t="str">
        <f>COUNTA(M13:M43)&amp;" / 2"</f>
        <v>0 / 2</v>
      </c>
      <c r="O44" s="43" t="s">
        <v>73</v>
      </c>
      <c r="P44" s="49">
        <v>1.5</v>
      </c>
    </row>
    <row r="45" spans="1:16" ht="15" customHeight="1" x14ac:dyDescent="0.3">
      <c r="O45" s="43" t="s">
        <v>74</v>
      </c>
      <c r="P45" s="49">
        <v>1.7</v>
      </c>
    </row>
    <row r="46" spans="1:16" ht="30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O46" s="43" t="s">
        <v>75</v>
      </c>
      <c r="P46" s="50">
        <f>J44*24*P43*P44</f>
        <v>0</v>
      </c>
    </row>
    <row r="47" spans="1:16" ht="15" customHeight="1" x14ac:dyDescent="0.3">
      <c r="O47" s="43" t="s">
        <v>76</v>
      </c>
      <c r="P47" s="50">
        <f>K44*24*P43*P45</f>
        <v>0</v>
      </c>
    </row>
    <row r="48" spans="1:16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51" t="s">
        <v>77</v>
      </c>
      <c r="P48" s="52">
        <f>P46+P47</f>
        <v>0</v>
      </c>
    </row>
    <row r="50" spans="15:16" ht="15" customHeight="1" x14ac:dyDescent="0.3">
      <c r="O50" s="3" t="s">
        <v>78</v>
      </c>
      <c r="P50" s="3"/>
    </row>
    <row r="51" spans="15:16" ht="28.2" customHeight="1" x14ac:dyDescent="0.3">
      <c r="O51" s="53" t="s">
        <v>79</v>
      </c>
      <c r="P51" s="44">
        <f>SUMPRODUCT((G13:G43&lt;&gt;"")*(G13:G43&gt;0)*(G13:G43&lt;=TIME(0,15,0)))</f>
        <v>0</v>
      </c>
    </row>
    <row r="52" spans="15:16" ht="21.75" customHeight="1" x14ac:dyDescent="0.3">
      <c r="O52" s="53" t="s">
        <v>80</v>
      </c>
      <c r="P52" s="44">
        <f>SUMPRODUCT((G13:G43&lt;&gt;"")*(G13:G43&gt;TIME(0,15,0))*(G13:G43&lt;=TIME(0,30,0)))</f>
        <v>0</v>
      </c>
    </row>
    <row r="53" spans="15:16" ht="21.75" customHeight="1" x14ac:dyDescent="0.3">
      <c r="O53" s="53" t="s">
        <v>81</v>
      </c>
      <c r="P53" s="44">
        <f>SUMPRODUCT((G13:G43&lt;&gt;"")*(G13:G43&gt;TIME(0,30,0)))</f>
        <v>0</v>
      </c>
    </row>
    <row r="56" spans="15:16" ht="15" customHeight="1" x14ac:dyDescent="0.3">
      <c r="O56" s="3" t="s">
        <v>82</v>
      </c>
      <c r="P56" s="3"/>
    </row>
    <row r="57" spans="15:16" ht="15" customHeight="1" x14ac:dyDescent="0.3">
      <c r="O57" s="54" t="s">
        <v>30</v>
      </c>
      <c r="P57" s="44">
        <f>COUNTIF(D13:D43,"OD")</f>
        <v>22</v>
      </c>
    </row>
    <row r="58" spans="15:16" ht="15" customHeight="1" x14ac:dyDescent="0.3">
      <c r="O58" s="54" t="s">
        <v>32</v>
      </c>
      <c r="P58" s="44">
        <f>COUNTIF(D13:D43,"OH")</f>
        <v>0</v>
      </c>
    </row>
    <row r="59" spans="15:16" ht="15" customHeight="1" x14ac:dyDescent="0.3">
      <c r="O59" s="54" t="s">
        <v>34</v>
      </c>
      <c r="P59" s="44">
        <f>COUNTIF(D13:D43,"Arv")</f>
        <v>0</v>
      </c>
    </row>
    <row r="60" spans="15:16" ht="15" customHeight="1" x14ac:dyDescent="0.3">
      <c r="O60" s="54" t="s">
        <v>36</v>
      </c>
      <c r="P60" s="44">
        <f>COUNTIF(D13:D43,"FD")</f>
        <v>0</v>
      </c>
    </row>
    <row r="61" spans="15:16" ht="15" customHeight="1" x14ac:dyDescent="0.3">
      <c r="O61" s="54" t="s">
        <v>38</v>
      </c>
      <c r="P61" s="44">
        <f>COUNTIF(D13:D43,"WE")</f>
        <v>9</v>
      </c>
    </row>
    <row r="62" spans="15:16" ht="15" customHeight="1" x14ac:dyDescent="0.3">
      <c r="O62" s="54" t="s">
        <v>40</v>
      </c>
      <c r="P62" s="44">
        <f>COUNTIF(D13:D43,"WWE")</f>
        <v>0</v>
      </c>
    </row>
    <row r="63" spans="15:16" ht="15" customHeight="1" x14ac:dyDescent="0.3">
      <c r="O63" s="54" t="s">
        <v>42</v>
      </c>
      <c r="P63" s="44">
        <f>COUNTIF(D13:D43,"EF")</f>
        <v>0</v>
      </c>
    </row>
    <row r="64" spans="15:16" ht="15" customHeight="1" x14ac:dyDescent="0.3">
      <c r="O64" s="54" t="s">
        <v>44</v>
      </c>
      <c r="P64" s="44">
        <f>COUNTIF(D13:D43,"AWP")</f>
        <v>0</v>
      </c>
    </row>
    <row r="65" spans="15:16" ht="15" customHeight="1" x14ac:dyDescent="0.3">
      <c r="O65" s="54" t="s">
        <v>46</v>
      </c>
      <c r="P65" s="44">
        <f>COUNTIF(D13:D43,"RDO")</f>
        <v>0</v>
      </c>
    </row>
    <row r="66" spans="15:16" ht="15" customHeight="1" x14ac:dyDescent="0.3">
      <c r="O66" s="54" t="s">
        <v>48</v>
      </c>
      <c r="P66" s="44">
        <f>COUNTIF(D13:D43,"EDO")</f>
        <v>0</v>
      </c>
    </row>
    <row r="67" spans="15:16" ht="15" customHeight="1" x14ac:dyDescent="0.3">
      <c r="O67" s="54" t="s">
        <v>50</v>
      </c>
      <c r="P67" s="44">
        <f>COUNTIF(D13:D43,"RSD")</f>
        <v>0</v>
      </c>
    </row>
    <row r="68" spans="15:16" ht="15" customHeight="1" x14ac:dyDescent="0.3">
      <c r="O68" s="54" t="s">
        <v>52</v>
      </c>
      <c r="P68" s="44">
        <f>COUNTIF(D13:D43,"COD")</f>
        <v>0</v>
      </c>
    </row>
  </sheetData>
  <mergeCells count="21">
    <mergeCell ref="O50:P50"/>
    <mergeCell ref="O56:P56"/>
    <mergeCell ref="I11:M11"/>
    <mergeCell ref="O42:P42"/>
    <mergeCell ref="A44:F44"/>
    <mergeCell ref="A46:M46"/>
    <mergeCell ref="A48:F48"/>
    <mergeCell ref="G48:M48"/>
    <mergeCell ref="A10:B10"/>
    <mergeCell ref="I10:M10"/>
    <mergeCell ref="O11:P11"/>
    <mergeCell ref="O25:P25"/>
    <mergeCell ref="O29:P29"/>
    <mergeCell ref="A1:M3"/>
    <mergeCell ref="O1:P9"/>
    <mergeCell ref="A4:M4"/>
    <mergeCell ref="C6:E6"/>
    <mergeCell ref="G6:H6"/>
    <mergeCell ref="J6:K6"/>
    <mergeCell ref="J7:K7"/>
    <mergeCell ref="C8:E8"/>
  </mergeCells>
  <conditionalFormatting sqref="A13:M43">
    <cfRule type="expression" dxfId="5" priority="2">
      <formula>AND($C13&lt;&gt;"",OR(WEEKDAY($C13,2)=5,WEEKDAY($C13,2)=6))</formula>
    </cfRule>
    <cfRule type="expression" dxfId="4" priority="3">
      <formula>$C13=""</formula>
    </cfRule>
  </conditionalFormatting>
  <conditionalFormatting sqref="G13:G43">
    <cfRule type="expression" dxfId="3" priority="4">
      <formula>AND(G13&lt;&gt;"",G13&gt;TIME(0,15,0))</formula>
    </cfRule>
  </conditionalFormatting>
  <conditionalFormatting sqref="J13:J43">
    <cfRule type="expression" dxfId="2" priority="5">
      <formula>J13&gt;0</formula>
    </cfRule>
  </conditionalFormatting>
  <conditionalFormatting sqref="K13:K43">
    <cfRule type="expression" dxfId="1" priority="6">
      <formula>K13&gt;0</formula>
    </cfRule>
  </conditionalFormatting>
  <conditionalFormatting sqref="M13:M43">
    <cfRule type="expression" dxfId="0" priority="7">
      <formula>M13&lt;&gt;""</formula>
    </cfRule>
  </conditionalFormatting>
  <dataValidations count="5">
    <dataValidation type="whole" errorTitle="Invalid Month" error="Enter a month number between 1 and 12" sqref="C7" xr:uid="{00000000-0002-0000-0000-000000000000}">
      <formula1>1</formula1>
      <formula2>12</formula2>
    </dataValidation>
    <dataValidation type="whole" errorTitle="Invalid Year" error="Enter a valid year" sqref="G7" xr:uid="{00000000-0002-0000-0000-000001000000}">
      <formula1>2000</formula1>
      <formula2>2100</formula2>
    </dataValidation>
    <dataValidation type="list" allowBlank="1" errorTitle="Invalid Duty Code" error="Please choose a valid duty code from the list" sqref="D13:D43" xr:uid="{00000000-0002-0000-0000-000002000000}">
      <formula1>$O$13:$O$24</formula1>
      <formula2>0</formula2>
    </dataValidation>
    <dataValidation type="time" allowBlank="1" sqref="E13:F43" xr:uid="{00000000-0002-0000-0000-000003000000}">
      <formula1>TIME(0,0,0)</formula1>
      <formula2>TIME(23,59,0)</formula2>
    </dataValidation>
    <dataValidation type="custom" allowBlank="1" errorTitle="Permission Limit" error="Only PN-1 and PN-2 are allowed, and a maximum of 2 permissions per month (no repeats)." sqref="M13:M43" xr:uid="{00000000-0002-0000-0000-000004000000}">
      <formula1>AND(OR(M13="",M13="PN-1",M13="PN-2"),COUNTA($M$13:$M$43)&lt;=2,COUNTIF($M$13:$M$43,M13)&lt;=1)</formula1>
      <formula2>0</formula2>
    </dataValidation>
  </dataValidations>
  <pageMargins left="0.2" right="0.2" top="0.2" bottom="0.2" header="0.511811023622047" footer="0.511811023622047"/>
  <pageSetup paperSize="9" scale="5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Karim Mohamed</cp:lastModifiedBy>
  <cp:revision>0</cp:revision>
  <dcterms:created xsi:type="dcterms:W3CDTF">2026-07-02T13:56:33Z</dcterms:created>
  <dcterms:modified xsi:type="dcterms:W3CDTF">2026-07-26T11:34:13Z</dcterms:modified>
  <dc:language>en-US</dc:language>
</cp:coreProperties>
</file>